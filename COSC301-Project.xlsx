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ens\OneDrive\Desktop\"/>
    </mc:Choice>
  </mc:AlternateContent>
  <xr:revisionPtr revIDLastSave="0" documentId="13_ncr:1_{3FDB7346-585A-42E0-BB5F-2CE0A0703C5A}" xr6:coauthVersionLast="47" xr6:coauthVersionMax="47" xr10:uidLastSave="{00000000-0000-0000-0000-000000000000}"/>
  <bookViews>
    <workbookView xWindow="-110" yWindow="-110" windowWidth="19420" windowHeight="10420" xr2:uid="{19809286-A304-40C5-93C8-AEFE75221C36}"/>
  </bookViews>
  <sheets>
    <sheet name="Data_Dictionary" sheetId="8" r:id="rId1"/>
    <sheet name="Key_Mode" sheetId="1" r:id="rId2"/>
    <sheet name="BPM" sheetId="2" r:id="rId3"/>
    <sheet name="Averages" sheetId="3" r:id="rId4"/>
    <sheet name="Averages_By_Year" sheetId="4" r:id="rId5"/>
    <sheet name="Combi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<sst xmlns="http://schemas.openxmlformats.org/spreadsheetml/2006/main" count="146" uniqueCount="95">
  <si>
    <t>Key</t>
  </si>
  <si>
    <t>Count</t>
  </si>
  <si>
    <t>C#</t>
  </si>
  <si>
    <t>G</t>
  </si>
  <si>
    <t>F</t>
  </si>
  <si>
    <t>G#</t>
  </si>
  <si>
    <t>D</t>
  </si>
  <si>
    <t>B</t>
  </si>
  <si>
    <t>A</t>
  </si>
  <si>
    <t>F#</t>
  </si>
  <si>
    <t>C</t>
  </si>
  <si>
    <t>E</t>
  </si>
  <si>
    <t>A#</t>
  </si>
  <si>
    <t>D#</t>
  </si>
  <si>
    <t>Mode</t>
  </si>
  <si>
    <t>Major</t>
  </si>
  <si>
    <t>Minor</t>
  </si>
  <si>
    <t>Tempo Range</t>
  </si>
  <si>
    <t>Song Count</t>
  </si>
  <si>
    <t>Fast (&gt;130)</t>
  </si>
  <si>
    <t>Slow (&lt;100)</t>
  </si>
  <si>
    <t>Medium (100-130)</t>
  </si>
  <si>
    <t>Average BPM</t>
  </si>
  <si>
    <t>Average Danceability</t>
  </si>
  <si>
    <t>Average Valence</t>
  </si>
  <si>
    <t>Average Energy</t>
  </si>
  <si>
    <t>Average Accousticness</t>
  </si>
  <si>
    <t>Average Instrumentalness</t>
  </si>
  <si>
    <t>Average Liveness</t>
  </si>
  <si>
    <t>Average Speechiness</t>
  </si>
  <si>
    <t>Release Year</t>
  </si>
  <si>
    <t>Total Hits</t>
  </si>
  <si>
    <t>Song Archetype</t>
  </si>
  <si>
    <t>Accoustic Ballad (Low Dance/High Accoustic)</t>
  </si>
  <si>
    <t>Standard Pop / Other</t>
  </si>
  <si>
    <t>Total Songs</t>
  </si>
  <si>
    <t>Average Streams</t>
  </si>
  <si>
    <t>Club Songs (High Dance / Energy)</t>
  </si>
  <si>
    <t>track_name</t>
  </si>
  <si>
    <t>artist(s)_name</t>
  </si>
  <si>
    <t>artist_count</t>
  </si>
  <si>
    <t>released_year</t>
  </si>
  <si>
    <t>released_month</t>
  </si>
  <si>
    <t>released_day</t>
  </si>
  <si>
    <t>streams</t>
  </si>
  <si>
    <t>bpm</t>
  </si>
  <si>
    <t>key</t>
  </si>
  <si>
    <t>mode</t>
  </si>
  <si>
    <t>danceability_%</t>
  </si>
  <si>
    <t>valence_%</t>
  </si>
  <si>
    <t>energy_%</t>
  </si>
  <si>
    <t>acousticness_%</t>
  </si>
  <si>
    <t>instrumentalness_%</t>
  </si>
  <si>
    <t>liveness_%</t>
  </si>
  <si>
    <t>speechiness_%</t>
  </si>
  <si>
    <t>Field Name</t>
  </si>
  <si>
    <t>Description</t>
  </si>
  <si>
    <t>Data Type</t>
  </si>
  <si>
    <t>Format/Range</t>
  </si>
  <si>
    <t>Cleaning Notes</t>
  </si>
  <si>
    <t>The title of the song on Spotify.</t>
  </si>
  <si>
    <t>String</t>
  </si>
  <si>
    <t>Text</t>
  </si>
  <si>
    <t>Corrected character encoding and used python to fix broken accents within track names</t>
  </si>
  <si>
    <t>The name(s) of the credited artist(s).</t>
  </si>
  <si>
    <t>Corrected character encoding and used python to fix broken accents within atrist(s) names</t>
  </si>
  <si>
    <t>Total number of artists credited on the track.</t>
  </si>
  <si>
    <t>Integer</t>
  </si>
  <si>
    <t>1 or greater</t>
  </si>
  <si>
    <t>N/A</t>
  </si>
  <si>
    <t>The year the track was officially released.</t>
  </si>
  <si>
    <t>2013 - 2023</t>
  </si>
  <si>
    <t>Filtered dataset to exclusively keep rows where year is between 2013 and 2023.</t>
  </si>
  <si>
    <t>The month the track was released.</t>
  </si>
  <si>
    <t>January-December</t>
  </si>
  <si>
    <t>The day of the month the track was released.</t>
  </si>
  <si>
    <t>1st to 31st</t>
  </si>
  <si>
    <t>Total number of streams on Spotify as of 2023.</t>
  </si>
  <si>
    <t>0 or greater</t>
  </si>
  <si>
    <t>Beats per minute (tempo) of the track.</t>
  </si>
  <si>
    <t>The musical key the track is composed in.</t>
  </si>
  <si>
    <t>A, A#, B, C, etc.</t>
  </si>
  <si>
    <t>Identified null/missing values and filled them with correct key.</t>
  </si>
  <si>
    <t>Modality of the track (Major or Minor).</t>
  </si>
  <si>
    <t>Major or Minor</t>
  </si>
  <si>
    <t>How suitable a track is for dancing (Spotify metric).</t>
  </si>
  <si>
    <t>0 - 100</t>
  </si>
  <si>
    <t>Musical positiveness/happiness conveyed by the track.</t>
  </si>
  <si>
    <t>Perceptual measure of intensity and activity.</t>
  </si>
  <si>
    <t>Confidence measure of whether the track is acoustic.</t>
  </si>
  <si>
    <t>Predicts whether a track contains no vocals.</t>
  </si>
  <si>
    <t>Detects the presence of an audience in the recording.</t>
  </si>
  <si>
    <t>Detects the presence of spoken words in a track.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</si>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</sst>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Song Count for Each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Key_Mode!$B$2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Key_Mode!$A$3:$A$14</c:f>
              <c:strCache>
                <c:ptCount val="12"/>
                <c:pt idx="0">
                  <c:v>C#</c:v>
                </c:pt>
                <c:pt idx="1">
                  <c:v>G</c:v>
                </c:pt>
                <c:pt idx="2">
                  <c:v>F</c:v>
                </c:pt>
                <c:pt idx="3">
                  <c:v>G#</c:v>
                </c:pt>
                <c:pt idx="4">
                  <c:v>D</c:v>
                </c:pt>
                <c:pt idx="5">
                  <c:v>B</c:v>
                </c:pt>
                <c:pt idx="6">
                  <c:v>A</c:v>
                </c:pt>
                <c:pt idx="7">
                  <c:v>F#</c:v>
                </c:pt>
                <c:pt idx="8">
                  <c:v>C</c:v>
                </c:pt>
                <c:pt idx="9">
                  <c:v>E</c:v>
                </c:pt>
                <c:pt idx="10">
                  <c:v>A#</c:v>
                </c:pt>
                <c:pt idx="11">
                  <c:v>D#</c:v>
                </c:pt>
              </c:strCache>
            </c:strRef>
          </c:cat>
          <c:val>
            <c:numRef>
              <c:f>Key_Mode!$B$3:$B$14</c:f>
              <c:numCache>
                <c:formatCode>General</c:formatCode>
                <c:ptCount val="12"/>
                <c:pt idx="0">
                  <c:v>109</c:v>
                </c:pt>
                <c:pt idx="1">
                  <c:v>89</c:v>
                </c:pt>
                <c:pt idx="2">
                  <c:v>86</c:v>
                </c:pt>
                <c:pt idx="3">
                  <c:v>84</c:v>
                </c:pt>
                <c:pt idx="4">
                  <c:v>76</c:v>
                </c:pt>
                <c:pt idx="5">
                  <c:v>75</c:v>
                </c:pt>
                <c:pt idx="6">
                  <c:v>71</c:v>
                </c:pt>
                <c:pt idx="7">
                  <c:v>65</c:v>
                </c:pt>
                <c:pt idx="8">
                  <c:v>63</c:v>
                </c:pt>
                <c:pt idx="9">
                  <c:v>59</c:v>
                </c:pt>
                <c:pt idx="10">
                  <c:v>52</c:v>
                </c:pt>
                <c:pt idx="11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BD-4315-B13D-8D01C5E7A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42555904"/>
        <c:axId val="369195472"/>
      </c:barChart>
      <c:catAx>
        <c:axId val="142555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Key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195472"/>
        <c:crosses val="autoZero"/>
        <c:auto val="1"/>
        <c:lblAlgn val="ctr"/>
        <c:lblOffset val="100"/>
        <c:noMultiLvlLbl val="0"/>
      </c:catAx>
      <c:valAx>
        <c:axId val="36919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Song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559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Modes (Chord Types)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Key_Mode!$E$2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73-440C-91DD-E2DD6235F5CA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73-440C-91DD-E2DD6235F5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Key_Mode!$D$3:$D$4</c:f>
              <c:strCache>
                <c:ptCount val="2"/>
                <c:pt idx="0">
                  <c:v>Major</c:v>
                </c:pt>
                <c:pt idx="1">
                  <c:v>Minor</c:v>
                </c:pt>
              </c:strCache>
            </c:strRef>
          </c:cat>
          <c:val>
            <c:numRef>
              <c:f>Key_Mode!$E$3:$E$4</c:f>
              <c:numCache>
                <c:formatCode>General</c:formatCode>
                <c:ptCount val="2"/>
                <c:pt idx="0">
                  <c:v>484</c:v>
                </c:pt>
                <c:pt idx="1">
                  <c:v>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59-4113-95DB-AB5343AA6BED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shade val="6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E0C-49A3-8623-B64A1093F12A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E0C-49A3-8623-B64A1093F12A}"/>
              </c:ext>
            </c:extLst>
          </c:dPt>
          <c:dPt>
            <c:idx val="2"/>
            <c:bubble3D val="0"/>
            <c:spPr>
              <a:solidFill>
                <a:schemeClr val="accent3">
                  <a:tint val="6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E0C-49A3-8623-B64A1093F12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BPM!$A$3:$A$5</c:f>
              <c:strCache>
                <c:ptCount val="3"/>
                <c:pt idx="0">
                  <c:v>Medium (100-130)</c:v>
                </c:pt>
                <c:pt idx="1">
                  <c:v>Fast (&gt;130)</c:v>
                </c:pt>
                <c:pt idx="2">
                  <c:v>Slow (&lt;100)</c:v>
                </c:pt>
              </c:strCache>
            </c:strRef>
          </c:cat>
          <c:val>
            <c:numRef>
              <c:f>BPM!$B$3:$B$5</c:f>
              <c:numCache>
                <c:formatCode>General</c:formatCode>
                <c:ptCount val="3"/>
                <c:pt idx="0">
                  <c:v>339</c:v>
                </c:pt>
                <c:pt idx="1">
                  <c:v>302</c:v>
                </c:pt>
                <c:pt idx="2">
                  <c:v>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BD-4F45-9454-4E9B9B69C004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Attributes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Averages!$A$2:$H$2</c:f>
              <c:strCache>
                <c:ptCount val="8"/>
                <c:pt idx="0">
                  <c:v>Average BPM</c:v>
                </c:pt>
                <c:pt idx="1">
                  <c:v>Average Danceability</c:v>
                </c:pt>
                <c:pt idx="2">
                  <c:v>Average Valence</c:v>
                </c:pt>
                <c:pt idx="3">
                  <c:v>Average Energy</c:v>
                </c:pt>
                <c:pt idx="4">
                  <c:v>Average Accousticness</c:v>
                </c:pt>
                <c:pt idx="5">
                  <c:v>Average Instrumentalness</c:v>
                </c:pt>
                <c:pt idx="6">
                  <c:v>Average Liveness</c:v>
                </c:pt>
                <c:pt idx="7">
                  <c:v>Average Speechiness</c:v>
                </c:pt>
              </c:strCache>
            </c:strRef>
          </c:cat>
          <c:val>
            <c:numRef>
              <c:f>Averages!$A$3:$H$3</c:f>
              <c:numCache>
                <c:formatCode>General</c:formatCode>
                <c:ptCount val="8"/>
                <c:pt idx="0">
                  <c:v>122.37</c:v>
                </c:pt>
                <c:pt idx="1">
                  <c:v>67.650000000000006</c:v>
                </c:pt>
                <c:pt idx="2">
                  <c:v>51.14</c:v>
                </c:pt>
                <c:pt idx="3">
                  <c:v>64.31</c:v>
                </c:pt>
                <c:pt idx="4">
                  <c:v>26.82</c:v>
                </c:pt>
                <c:pt idx="5">
                  <c:v>1.62</c:v>
                </c:pt>
                <c:pt idx="6">
                  <c:v>18.27</c:v>
                </c:pt>
                <c:pt idx="7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84-4FD0-A19B-1549A6E04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76410640"/>
        <c:axId val="376411120"/>
        <c:axId val="0"/>
      </c:bar3DChart>
      <c:catAx>
        <c:axId val="37641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411120"/>
        <c:crosses val="autoZero"/>
        <c:auto val="1"/>
        <c:lblAlgn val="ctr"/>
        <c:lblOffset val="100"/>
        <c:noMultiLvlLbl val="0"/>
      </c:catAx>
      <c:valAx>
        <c:axId val="37641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41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Hit</a:t>
            </a:r>
            <a:r>
              <a:rPr lang="en-US" baseline="0"/>
              <a:t> Distribution Per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Averages_By_Year!$C$2</c:f>
              <c:strCache>
                <c:ptCount val="1"/>
                <c:pt idx="0">
                  <c:v>Total Hits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Averages_By_Year!$B$3:$B$13</c:f>
              <c:numCache>
                <c:formatCode>General</c:formatCode>
                <c:ptCount val="11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</c:numCache>
            </c:numRef>
          </c:cat>
          <c:val>
            <c:numRef>
              <c:f>Averages_By_Year!$C$3:$C$13</c:f>
              <c:numCache>
                <c:formatCode>General</c:formatCode>
                <c:ptCount val="11"/>
                <c:pt idx="0">
                  <c:v>13</c:v>
                </c:pt>
                <c:pt idx="1">
                  <c:v>13</c:v>
                </c:pt>
                <c:pt idx="2">
                  <c:v>11</c:v>
                </c:pt>
                <c:pt idx="3">
                  <c:v>18</c:v>
                </c:pt>
                <c:pt idx="4">
                  <c:v>23</c:v>
                </c:pt>
                <c:pt idx="5">
                  <c:v>10</c:v>
                </c:pt>
                <c:pt idx="6">
                  <c:v>36</c:v>
                </c:pt>
                <c:pt idx="7">
                  <c:v>37</c:v>
                </c:pt>
                <c:pt idx="8">
                  <c:v>119</c:v>
                </c:pt>
                <c:pt idx="9">
                  <c:v>402</c:v>
                </c:pt>
                <c:pt idx="10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24-4999-8818-BA2465134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66407855"/>
        <c:axId val="1866394415"/>
      </c:barChart>
      <c:catAx>
        <c:axId val="186640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394415"/>
        <c:crosses val="autoZero"/>
        <c:auto val="1"/>
        <c:lblAlgn val="ctr"/>
        <c:lblOffset val="100"/>
        <c:noMultiLvlLbl val="0"/>
      </c:catAx>
      <c:valAx>
        <c:axId val="186639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407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BPM Per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Averages_By_Year!$B$3:$B$13</c:f>
              <c:numCache>
                <c:formatCode>General</c:formatCode>
                <c:ptCount val="11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</c:numCache>
            </c:numRef>
          </c:cat>
          <c:val>
            <c:numRef>
              <c:f>Averages_By_Year!$D$3:$D$13</c:f>
              <c:numCache>
                <c:formatCode>General</c:formatCode>
                <c:ptCount val="11"/>
                <c:pt idx="0">
                  <c:v>120.1</c:v>
                </c:pt>
                <c:pt idx="1">
                  <c:v>106</c:v>
                </c:pt>
                <c:pt idx="2">
                  <c:v>127.4</c:v>
                </c:pt>
                <c:pt idx="3">
                  <c:v>126.9</c:v>
                </c:pt>
                <c:pt idx="4">
                  <c:v>119</c:v>
                </c:pt>
                <c:pt idx="5">
                  <c:v>115.3</c:v>
                </c:pt>
                <c:pt idx="6">
                  <c:v>118.4</c:v>
                </c:pt>
                <c:pt idx="7">
                  <c:v>118</c:v>
                </c:pt>
                <c:pt idx="8">
                  <c:v>125.8</c:v>
                </c:pt>
                <c:pt idx="9">
                  <c:v>122</c:v>
                </c:pt>
                <c:pt idx="10">
                  <c:v>124.1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CC-4E3B-9759-63AF478BB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99151"/>
        <c:axId val="138998671"/>
      </c:lineChart>
      <c:catAx>
        <c:axId val="13899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8671"/>
        <c:crosses val="autoZero"/>
        <c:auto val="1"/>
        <c:lblAlgn val="ctr"/>
        <c:lblOffset val="100"/>
        <c:noMultiLvlLbl val="0"/>
      </c:catAx>
      <c:valAx>
        <c:axId val="13899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9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Danceability Per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Averages_By_Year!$B$3:$B$13</c:f>
              <c:numCache>
                <c:formatCode>General</c:formatCode>
                <c:ptCount val="11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</c:numCache>
            </c:numRef>
          </c:xVal>
          <c:yVal>
            <c:numRef>
              <c:f>Averages_By_Year!$E$3:$E$13</c:f>
              <c:numCache>
                <c:formatCode>General</c:formatCode>
                <c:ptCount val="11"/>
                <c:pt idx="0">
                  <c:v>57</c:v>
                </c:pt>
                <c:pt idx="1">
                  <c:v>63.5</c:v>
                </c:pt>
                <c:pt idx="2">
                  <c:v>53.7</c:v>
                </c:pt>
                <c:pt idx="3">
                  <c:v>63</c:v>
                </c:pt>
                <c:pt idx="4">
                  <c:v>63.5</c:v>
                </c:pt>
                <c:pt idx="5">
                  <c:v>55</c:v>
                </c:pt>
                <c:pt idx="6">
                  <c:v>60.7</c:v>
                </c:pt>
                <c:pt idx="7">
                  <c:v>67.400000000000006</c:v>
                </c:pt>
                <c:pt idx="8">
                  <c:v>68.2</c:v>
                </c:pt>
                <c:pt idx="9">
                  <c:v>68.7</c:v>
                </c:pt>
                <c:pt idx="10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71-4D3B-B97B-B27C96387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0207"/>
        <c:axId val="9945807"/>
      </c:scatterChart>
      <c:valAx>
        <c:axId val="996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5807"/>
        <c:crosses val="autoZero"/>
        <c:crossBetween val="midCat"/>
      </c:valAx>
      <c:valAx>
        <c:axId val="994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Energy Per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Averages_By_Year!$B$3:$B$13</c:f>
              <c:numCache>
                <c:formatCode>General</c:formatCode>
                <c:ptCount val="11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</c:numCache>
            </c:numRef>
          </c:cat>
          <c:val>
            <c:numRef>
              <c:f>Averages_By_Year!$G$3:$G$13</c:f>
              <c:numCache>
                <c:formatCode>General</c:formatCode>
                <c:ptCount val="11"/>
                <c:pt idx="0">
                  <c:v>63.9</c:v>
                </c:pt>
                <c:pt idx="1">
                  <c:v>65.5</c:v>
                </c:pt>
                <c:pt idx="2">
                  <c:v>61.8</c:v>
                </c:pt>
                <c:pt idx="3">
                  <c:v>63.2</c:v>
                </c:pt>
                <c:pt idx="4">
                  <c:v>60.7</c:v>
                </c:pt>
                <c:pt idx="5">
                  <c:v>50.9</c:v>
                </c:pt>
                <c:pt idx="6">
                  <c:v>59.6</c:v>
                </c:pt>
                <c:pt idx="7">
                  <c:v>66.400000000000006</c:v>
                </c:pt>
                <c:pt idx="8">
                  <c:v>63.9</c:v>
                </c:pt>
                <c:pt idx="9">
                  <c:v>63.6</c:v>
                </c:pt>
                <c:pt idx="10">
                  <c:v>68.2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2-4DEF-9376-8609F303B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48687"/>
        <c:axId val="9958767"/>
      </c:barChart>
      <c:catAx>
        <c:axId val="9948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8767"/>
        <c:crosses val="autoZero"/>
        <c:auto val="1"/>
        <c:lblAlgn val="ctr"/>
        <c:lblOffset val="100"/>
        <c:noMultiLvlLbl val="0"/>
      </c:catAx>
      <c:valAx>
        <c:axId val="995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of Songs by Archetype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21F-4AAB-8A8B-DCAA5B66D753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21F-4AAB-8A8B-DCAA5B66D753}"/>
              </c:ext>
            </c:extLst>
          </c:dPt>
          <c:dPt>
            <c:idx val="2"/>
            <c:bubble3D val="0"/>
            <c:spPr>
              <a:solidFill>
                <a:schemeClr val="accent4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21F-4AAB-8A8B-DCAA5B66D75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Combination!$B$4:$B$6</c:f>
              <c:strCache>
                <c:ptCount val="3"/>
                <c:pt idx="0">
                  <c:v>Accoustic Ballad (Low Dance/High Accoustic)</c:v>
                </c:pt>
                <c:pt idx="1">
                  <c:v>Standard Pop / Other</c:v>
                </c:pt>
                <c:pt idx="2">
                  <c:v>Club Songs (High Dance / Energy)</c:v>
                </c:pt>
              </c:strCache>
            </c:strRef>
          </c:cat>
          <c:val>
            <c:numRef>
              <c:f>Combination!$D$4:$D$6</c:f>
              <c:numCache>
                <c:formatCode>General</c:formatCode>
                <c:ptCount val="3"/>
                <c:pt idx="0">
                  <c:v>80</c:v>
                </c:pt>
                <c:pt idx="1">
                  <c:v>562</c:v>
                </c:pt>
                <c:pt idx="2">
                  <c:v>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5B-45A9-8A50-86F9E77C403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Streams by Archetype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Combination!$B$4:$B$6</c:f>
              <c:strCache>
                <c:ptCount val="3"/>
                <c:pt idx="0">
                  <c:v>Accoustic Ballad (Low Dance/High Accoustic)</c:v>
                </c:pt>
                <c:pt idx="1">
                  <c:v>Standard Pop / Other</c:v>
                </c:pt>
                <c:pt idx="2">
                  <c:v>Club Songs (High Dance / Energy)</c:v>
                </c:pt>
              </c:strCache>
            </c:strRef>
          </c:cat>
          <c:val>
            <c:numRef>
              <c:f>Combination!$E$4:$E$6</c:f>
              <c:numCache>
                <c:formatCode>General</c:formatCode>
                <c:ptCount val="3"/>
                <c:pt idx="0">
                  <c:v>545189920</c:v>
                </c:pt>
                <c:pt idx="1">
                  <c:v>463139293</c:v>
                </c:pt>
                <c:pt idx="2">
                  <c:v>437889832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C-4C63-8CB4-B68A8495103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13702319"/>
        <c:axId val="713702799"/>
      </c:barChart>
      <c:catAx>
        <c:axId val="71370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702799"/>
        <c:crosses val="autoZero"/>
        <c:auto val="1"/>
        <c:lblAlgn val="ctr"/>
        <c:lblOffset val="100"/>
        <c:noMultiLvlLbl val="0"/>
      </c:catAx>
      <c:valAx>
        <c:axId val="71370279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1370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3175</xdr:colOff>
      <xdr:row>1</xdr:row>
      <xdr:rowOff>0</xdr:rowOff>
    </xdr:from>
    <xdr:to>
      <xdr:col>14</xdr:col>
      <xdr:colOff>307975</xdr:colOff>
      <xdr:row>15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91905D-E113-A59D-3173-577D4E4CED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3175</xdr:colOff>
      <xdr:row>1</xdr:row>
      <xdr:rowOff>12700</xdr:rowOff>
    </xdr:from>
    <xdr:to>
      <xdr:col>22</xdr:col>
      <xdr:colOff>307975</xdr:colOff>
      <xdr:row>15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3F8F8B-8C52-3B18-2150-174C176331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1</xdr:row>
      <xdr:rowOff>12700</xdr:rowOff>
    </xdr:from>
    <xdr:to>
      <xdr:col>10</xdr:col>
      <xdr:colOff>314325</xdr:colOff>
      <xdr:row>15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AABDAC-C07A-65F6-B7E0-77F164D3B8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396875</xdr:colOff>
      <xdr:row>11</xdr:row>
      <xdr:rowOff>0</xdr:rowOff>
    </xdr:from>
    <xdr:to>
      <xdr:col>12</xdr:col>
      <xdr:colOff>244475</xdr:colOff>
      <xdr:row>25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47FB5-3940-DA9B-474A-4CFAD8B4BE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15</xdr:row>
      <xdr:rowOff>12700</xdr:rowOff>
    </xdr:from>
    <xdr:to>
      <xdr:col>5</xdr:col>
      <xdr:colOff>619125</xdr:colOff>
      <xdr:row>29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BA1850-A71C-F012-E007-A02943BDB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15</xdr:row>
      <xdr:rowOff>6350</xdr:rowOff>
    </xdr:from>
    <xdr:to>
      <xdr:col>9</xdr:col>
      <xdr:colOff>714375</xdr:colOff>
      <xdr:row>29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0D6073-E3BE-9B28-4FF0-22E8B306F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19050</xdr:colOff>
      <xdr:row>31</xdr:row>
      <xdr:rowOff>12700</xdr:rowOff>
    </xdr:from>
    <xdr:to>
      <xdr:col>9</xdr:col>
      <xdr:colOff>723900</xdr:colOff>
      <xdr:row>45</xdr:row>
      <xdr:rowOff>177800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59BA91-A585-45AC-8751-CFDC8225E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593725</xdr:colOff>
      <xdr:row>31</xdr:row>
      <xdr:rowOff>0</xdr:rowOff>
    </xdr:from>
    <xdr:to>
      <xdr:col>5</xdr:col>
      <xdr:colOff>593725</xdr:colOff>
      <xdr:row>45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0023685-CC03-BCD0-020F-E3403A965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3</xdr:row>
      <xdr:rowOff>0</xdr:rowOff>
    </xdr:from>
    <xdr:to>
      <xdr:col>13</xdr:col>
      <xdr:colOff>314325</xdr:colOff>
      <xdr:row>17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B5B23D-82D7-6FDE-79A1-7E7837313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3175</xdr:colOff>
      <xdr:row>3</xdr:row>
      <xdr:rowOff>12700</xdr:rowOff>
    </xdr:from>
    <xdr:to>
      <xdr:col>21</xdr:col>
      <xdr:colOff>307975</xdr:colOff>
      <xdr:row>17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01A0EC-2F05-3984-DD03-772A6B483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1CFB50-6DFB-49E7-8301-426EC8346CC6}" name="Table1" displayName="Table1" ref="J2:K10" totalsRowShown="0">
  <autoFilter ref="J2:K10" xr:uid="{5F1CFB50-6DFB-49E7-8301-426EC8346CC6}">
    <filterColumn colId="0" hiddenButton="1"/>
    <filterColumn colId="1" hiddenButton="1"/>
  </autoFilter>
  <tableColumns count="2">
    <tableColumn id="1" xr3:uid="{4F5A501B-44C8-40C6-87C4-671570909040}" name="Column1"/>
    <tableColumn id="2" xr3:uid="{59CF8F79-88AD-4522-94A6-946847A71A5C}" name="Column2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C5BDD-3517-4858-B073-F6B535FFBEF1}" name="Table4" displayName="Table4" ref="B2:J13" totalsRowShown="0">
  <autoFilter ref="B2:J13" xr:uid="{821C5BDD-3517-4858-B073-F6B535FFBE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D9911F62-C74F-4091-8CAE-95788FE9A310}" name="Release Year"/>
    <tableColumn id="2" xr3:uid="{672078C9-9FD8-49C3-97BB-DEB308424C39}" name="Total Hits"/>
    <tableColumn id="3" xr3:uid="{6D0991B1-D49B-49DB-81E3-B1F71A8B98FC}" name="Average BPM"/>
    <tableColumn id="4" xr3:uid="{A7376245-D443-42C3-9629-2265211DCF41}" name="Average Danceability"/>
    <tableColumn id="5" xr3:uid="{61015537-060A-48A2-A816-6DC278CFE351}" name="Average Valence"/>
    <tableColumn id="6" xr3:uid="{1B903AF3-0A3B-48F8-8F9F-4AC20562C08E}" name="Average Energy"/>
    <tableColumn id="7" xr3:uid="{DE3D4A19-3996-404C-8262-C33502BACD4B}" name="Average Instrumentalness"/>
    <tableColumn id="8" xr3:uid="{83026439-39A1-44D9-B0F7-65B88AFA1C72}" name="Average Liveness"/>
    <tableColumn id="9" xr3:uid="{A5CFDB07-3400-46D9-8B4E-11859103B9EF}" name="Average Speechiness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EC15-9525-4A70-A8B2-EABBC7F4DEB7}">
  <dimension ref="A1:E18"/>
  <sheetViews>
    <sheetView tabSelected="1" workbookViewId="0">
      <selection activeCell="B11" sqref="B11"/>
    </sheetView>
  </sheetViews>
  <sheetFormatPr defaultRowHeight="14.5" x14ac:dyDescent="0.35"/>
  <cols>
    <col min="1" max="1" width="17.453125" bestFit="1" customWidth="1"/>
    <col min="2" max="2" width="45.453125" bestFit="1" customWidth="1"/>
    <col min="3" max="3" width="9" bestFit="1" customWidth="1"/>
    <col min="4" max="4" width="16.08984375" bestFit="1" customWidth="1"/>
    <col min="5" max="5" width="74.7265625" bestFit="1" customWidth="1"/>
  </cols>
  <sheetData>
    <row r="1" spans="1:5" x14ac:dyDescent="0.35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5">
      <c r="A2" t="s">
        <v>38</v>
      </c>
      <c r="B2" t="s">
        <v>60</v>
      </c>
      <c r="C2" t="s">
        <v>61</v>
      </c>
      <c r="D2" t="s">
        <v>62</v>
      </c>
      <c r="E2" t="s">
        <v>63</v>
      </c>
    </row>
    <row r="3" spans="1:5" x14ac:dyDescent="0.35">
      <c r="A3" t="s">
        <v>39</v>
      </c>
      <c r="B3" t="s">
        <v>64</v>
      </c>
      <c r="C3" t="s">
        <v>61</v>
      </c>
      <c r="D3" t="s">
        <v>62</v>
      </c>
      <c r="E3" t="s">
        <v>65</v>
      </c>
    </row>
    <row r="4" spans="1:5" x14ac:dyDescent="0.35">
      <c r="A4" t="s">
        <v>40</v>
      </c>
      <c r="B4" t="s">
        <v>66</v>
      </c>
      <c r="C4" t="s">
        <v>67</v>
      </c>
      <c r="D4" t="s">
        <v>68</v>
      </c>
      <c r="E4" t="s">
        <v>69</v>
      </c>
    </row>
    <row r="5" spans="1:5" x14ac:dyDescent="0.35">
      <c r="A5" t="s">
        <v>41</v>
      </c>
      <c r="B5" t="s">
        <v>70</v>
      </c>
      <c r="C5" t="s">
        <v>67</v>
      </c>
      <c r="D5" t="s">
        <v>71</v>
      </c>
      <c r="E5" t="s">
        <v>72</v>
      </c>
    </row>
    <row r="6" spans="1:5" x14ac:dyDescent="0.35">
      <c r="A6" t="s">
        <v>42</v>
      </c>
      <c r="B6" t="s">
        <v>73</v>
      </c>
      <c r="C6" t="s">
        <v>67</v>
      </c>
      <c r="D6" s="2" t="s">
        <v>74</v>
      </c>
      <c r="E6" t="s">
        <v>69</v>
      </c>
    </row>
    <row r="7" spans="1:5" x14ac:dyDescent="0.35">
      <c r="A7" t="s">
        <v>43</v>
      </c>
      <c r="B7" t="s">
        <v>75</v>
      </c>
      <c r="C7" t="s">
        <v>67</v>
      </c>
      <c r="D7" t="s">
        <v>76</v>
      </c>
      <c r="E7" t="s">
        <v>69</v>
      </c>
    </row>
    <row r="8" spans="1:5" x14ac:dyDescent="0.35">
      <c r="A8" t="s">
        <v>44</v>
      </c>
      <c r="B8" t="s">
        <v>77</v>
      </c>
      <c r="C8" t="s">
        <v>67</v>
      </c>
      <c r="D8" t="s">
        <v>78</v>
      </c>
      <c r="E8" t="s">
        <v>69</v>
      </c>
    </row>
    <row r="9" spans="1:5" x14ac:dyDescent="0.35">
      <c r="A9" t="s">
        <v>45</v>
      </c>
      <c r="B9" t="s">
        <v>79</v>
      </c>
      <c r="C9" t="s">
        <v>67</v>
      </c>
      <c r="D9" t="s">
        <v>78</v>
      </c>
      <c r="E9" t="s">
        <v>69</v>
      </c>
    </row>
    <row r="10" spans="1:5" x14ac:dyDescent="0.35">
      <c r="A10" t="s">
        <v>46</v>
      </c>
      <c r="B10" t="s">
        <v>80</v>
      </c>
      <c r="C10" t="s">
        <v>61</v>
      </c>
      <c r="D10" t="s">
        <v>81</v>
      </c>
      <c r="E10" t="s">
        <v>82</v>
      </c>
    </row>
    <row r="11" spans="1:5" x14ac:dyDescent="0.35">
      <c r="A11" t="s">
        <v>47</v>
      </c>
      <c r="B11" t="s">
        <v>83</v>
      </c>
      <c r="C11" t="s">
        <v>61</v>
      </c>
      <c r="D11" t="s">
        <v>84</v>
      </c>
      <c r="E11" t="s">
        <v>69</v>
      </c>
    </row>
    <row r="12" spans="1:5" x14ac:dyDescent="0.35">
      <c r="A12" t="s">
        <v>48</v>
      </c>
      <c r="B12" t="s">
        <v>85</v>
      </c>
      <c r="C12" t="s">
        <v>67</v>
      </c>
      <c r="D12" t="s">
        <v>86</v>
      </c>
      <c r="E12" t="s">
        <v>69</v>
      </c>
    </row>
    <row r="13" spans="1:5" x14ac:dyDescent="0.35">
      <c r="A13" t="s">
        <v>49</v>
      </c>
      <c r="B13" t="s">
        <v>87</v>
      </c>
      <c r="C13" t="s">
        <v>67</v>
      </c>
      <c r="D13" t="s">
        <v>86</v>
      </c>
      <c r="E13" t="s">
        <v>69</v>
      </c>
    </row>
    <row r="14" spans="1:5" x14ac:dyDescent="0.35">
      <c r="A14" t="s">
        <v>50</v>
      </c>
      <c r="B14" t="s">
        <v>88</v>
      </c>
      <c r="C14" t="s">
        <v>67</v>
      </c>
      <c r="D14" t="s">
        <v>86</v>
      </c>
      <c r="E14" t="s">
        <v>69</v>
      </c>
    </row>
    <row r="15" spans="1:5" x14ac:dyDescent="0.35">
      <c r="A15" t="s">
        <v>51</v>
      </c>
      <c r="B15" t="s">
        <v>89</v>
      </c>
      <c r="C15" t="s">
        <v>67</v>
      </c>
      <c r="D15" t="s">
        <v>86</v>
      </c>
      <c r="E15" t="s">
        <v>69</v>
      </c>
    </row>
    <row r="16" spans="1:5" x14ac:dyDescent="0.35">
      <c r="A16" t="s">
        <v>52</v>
      </c>
      <c r="B16" t="s">
        <v>90</v>
      </c>
      <c r="C16" t="s">
        <v>67</v>
      </c>
      <c r="D16" t="s">
        <v>86</v>
      </c>
      <c r="E16" t="s">
        <v>69</v>
      </c>
    </row>
    <row r="17" spans="1:5" x14ac:dyDescent="0.35">
      <c r="A17" t="s">
        <v>53</v>
      </c>
      <c r="B17" t="s">
        <v>91</v>
      </c>
      <c r="C17" t="s">
        <v>67</v>
      </c>
      <c r="D17" t="s">
        <v>86</v>
      </c>
      <c r="E17" t="s">
        <v>69</v>
      </c>
    </row>
    <row r="18" spans="1:5" x14ac:dyDescent="0.35">
      <c r="A18" t="s">
        <v>54</v>
      </c>
      <c r="B18" t="s">
        <v>92</v>
      </c>
      <c r="C18" t="s">
        <v>67</v>
      </c>
      <c r="D18" t="s">
        <v>86</v>
      </c>
      <c r="E18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6C09E-C607-4F7E-85E3-88851B4008E0}">
  <dimension ref="A2:E14"/>
  <sheetViews>
    <sheetView workbookViewId="0">
      <selection activeCell="M19" sqref="M19"/>
    </sheetView>
  </sheetViews>
  <sheetFormatPr defaultRowHeight="14.5" x14ac:dyDescent="0.35"/>
  <sheetData>
    <row r="2" spans="1:5" x14ac:dyDescent="0.35">
      <c r="A2" t="s">
        <v>0</v>
      </c>
      <c r="B2" t="s">
        <v>1</v>
      </c>
      <c r="D2" t="s">
        <v>14</v>
      </c>
      <c r="E2" t="s">
        <v>1</v>
      </c>
    </row>
    <row r="3" spans="1:5" x14ac:dyDescent="0.35">
      <c r="A3" t="s">
        <v>2</v>
      </c>
      <c r="B3">
        <v>109</v>
      </c>
      <c r="D3" t="s">
        <v>15</v>
      </c>
      <c r="E3">
        <v>484</v>
      </c>
    </row>
    <row r="4" spans="1:5" x14ac:dyDescent="0.35">
      <c r="A4" t="s">
        <v>3</v>
      </c>
      <c r="B4">
        <v>89</v>
      </c>
      <c r="D4" t="s">
        <v>16</v>
      </c>
      <c r="E4">
        <v>373</v>
      </c>
    </row>
    <row r="5" spans="1:5" x14ac:dyDescent="0.35">
      <c r="A5" t="s">
        <v>4</v>
      </c>
      <c r="B5">
        <v>86</v>
      </c>
    </row>
    <row r="6" spans="1:5" x14ac:dyDescent="0.35">
      <c r="A6" t="s">
        <v>5</v>
      </c>
      <c r="B6">
        <v>84</v>
      </c>
    </row>
    <row r="7" spans="1:5" x14ac:dyDescent="0.35">
      <c r="A7" t="s">
        <v>6</v>
      </c>
      <c r="B7">
        <v>76</v>
      </c>
    </row>
    <row r="8" spans="1:5" x14ac:dyDescent="0.35">
      <c r="A8" t="s">
        <v>7</v>
      </c>
      <c r="B8">
        <v>75</v>
      </c>
    </row>
    <row r="9" spans="1:5" x14ac:dyDescent="0.35">
      <c r="A9" t="s">
        <v>8</v>
      </c>
      <c r="B9">
        <v>71</v>
      </c>
    </row>
    <row r="10" spans="1:5" x14ac:dyDescent="0.35">
      <c r="A10" t="s">
        <v>9</v>
      </c>
      <c r="B10">
        <v>65</v>
      </c>
    </row>
    <row r="11" spans="1:5" x14ac:dyDescent="0.35">
      <c r="A11" t="s">
        <v>10</v>
      </c>
      <c r="B11">
        <v>63</v>
      </c>
    </row>
    <row r="12" spans="1:5" x14ac:dyDescent="0.35">
      <c r="A12" t="s">
        <v>11</v>
      </c>
      <c r="B12">
        <v>59</v>
      </c>
    </row>
    <row r="13" spans="1:5" x14ac:dyDescent="0.35">
      <c r="A13" t="s">
        <v>12</v>
      </c>
      <c r="B13">
        <v>52</v>
      </c>
    </row>
    <row r="14" spans="1:5" x14ac:dyDescent="0.35">
      <c r="A14" t="s">
        <v>13</v>
      </c>
      <c r="B14">
        <v>28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37E0-890F-4782-A0D9-84C5131FCC21}">
  <dimension ref="A2:B5"/>
  <sheetViews>
    <sheetView workbookViewId="0">
      <selection activeCell="B16" sqref="B16"/>
    </sheetView>
  </sheetViews>
  <sheetFormatPr defaultRowHeight="14.5" x14ac:dyDescent="0.35"/>
  <cols>
    <col min="1" max="1" width="16.7265625" customWidth="1"/>
    <col min="2" max="2" width="14.6328125" customWidth="1"/>
  </cols>
  <sheetData>
    <row r="2" spans="1:2" x14ac:dyDescent="0.35">
      <c r="A2" t="s">
        <v>17</v>
      </c>
      <c r="B2" t="s">
        <v>18</v>
      </c>
    </row>
    <row r="3" spans="1:2" x14ac:dyDescent="0.35">
      <c r="A3" t="s">
        <v>21</v>
      </c>
      <c r="B3">
        <v>339</v>
      </c>
    </row>
    <row r="4" spans="1:2" x14ac:dyDescent="0.35">
      <c r="A4" t="s">
        <v>19</v>
      </c>
      <c r="B4">
        <v>302</v>
      </c>
    </row>
    <row r="5" spans="1:2" x14ac:dyDescent="0.35">
      <c r="A5" t="s">
        <v>20</v>
      </c>
      <c r="B5">
        <v>216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AF2D9-12D8-4834-9F19-27AA48C64BF9}">
  <dimension ref="A2:K10"/>
  <sheetViews>
    <sheetView workbookViewId="0">
      <selection activeCell="A2" sqref="A2:H3"/>
    </sheetView>
  </sheetViews>
  <sheetFormatPr defaultRowHeight="14.5" x14ac:dyDescent="0.35"/>
  <cols>
    <col min="1" max="1" width="12.26953125" customWidth="1"/>
    <col min="2" max="2" width="18.6328125" customWidth="1"/>
    <col min="3" max="3" width="14.90625" customWidth="1"/>
    <col min="4" max="4" width="13.08984375" bestFit="1" customWidth="1"/>
    <col min="5" max="5" width="19.7265625" bestFit="1" customWidth="1"/>
    <col min="6" max="6" width="22" bestFit="1" customWidth="1"/>
    <col min="7" max="7" width="16" bestFit="1" customWidth="1"/>
    <col min="8" max="8" width="18.08984375" bestFit="1" customWidth="1"/>
    <col min="10" max="10" width="22" bestFit="1" customWidth="1"/>
    <col min="11" max="11" width="10.08984375" customWidth="1"/>
  </cols>
  <sheetData>
    <row r="2" spans="1:11" x14ac:dyDescent="0.35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J2" t="s">
        <v>93</v>
      </c>
      <c r="K2" t="s">
        <v>94</v>
      </c>
    </row>
    <row r="3" spans="1:11" x14ac:dyDescent="0.35">
      <c r="A3">
        <v>122.37</v>
      </c>
      <c r="B3">
        <v>67.650000000000006</v>
      </c>
      <c r="C3">
        <v>51.14</v>
      </c>
      <c r="D3">
        <v>64.31</v>
      </c>
      <c r="E3">
        <v>26.82</v>
      </c>
      <c r="F3">
        <v>1.62</v>
      </c>
      <c r="G3">
        <v>18.27</v>
      </c>
      <c r="H3">
        <v>10.5</v>
      </c>
      <c r="J3" t="s">
        <v>22</v>
      </c>
      <c r="K3">
        <v>122.37</v>
      </c>
    </row>
    <row r="4" spans="1:11" x14ac:dyDescent="0.35">
      <c r="J4" t="s">
        <v>23</v>
      </c>
      <c r="K4">
        <v>67.650000000000006</v>
      </c>
    </row>
    <row r="5" spans="1:11" x14ac:dyDescent="0.35">
      <c r="J5" t="s">
        <v>24</v>
      </c>
      <c r="K5">
        <v>51.14</v>
      </c>
    </row>
    <row r="6" spans="1:11" x14ac:dyDescent="0.35">
      <c r="J6" t="s">
        <v>25</v>
      </c>
      <c r="K6">
        <v>64.31</v>
      </c>
    </row>
    <row r="7" spans="1:11" x14ac:dyDescent="0.35">
      <c r="J7" t="s">
        <v>26</v>
      </c>
      <c r="K7">
        <v>26.82</v>
      </c>
    </row>
    <row r="8" spans="1:11" x14ac:dyDescent="0.35">
      <c r="J8" t="s">
        <v>27</v>
      </c>
      <c r="K8">
        <v>1.62</v>
      </c>
    </row>
    <row r="9" spans="1:11" x14ac:dyDescent="0.35">
      <c r="J9" t="s">
        <v>28</v>
      </c>
      <c r="K9">
        <v>18.27</v>
      </c>
    </row>
    <row r="10" spans="1:11" x14ac:dyDescent="0.35">
      <c r="J10" t="s">
        <v>29</v>
      </c>
      <c r="K10">
        <v>10.5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2F15-ECA6-4FDB-A587-CAA2B1E76B50}">
  <dimension ref="B2:J13"/>
  <sheetViews>
    <sheetView topLeftCell="C16" workbookViewId="0">
      <selection activeCell="F16" sqref="F16"/>
    </sheetView>
  </sheetViews>
  <sheetFormatPr defaultRowHeight="14.5" x14ac:dyDescent="0.35"/>
  <cols>
    <col min="2" max="2" width="13.26953125" customWidth="1"/>
    <col min="3" max="3" width="10.453125" customWidth="1"/>
    <col min="4" max="4" width="13.26953125" customWidth="1"/>
    <col min="5" max="5" width="19.7265625" customWidth="1"/>
    <col min="6" max="6" width="16.1796875" customWidth="1"/>
    <col min="7" max="7" width="15" customWidth="1"/>
    <col min="8" max="8" width="23.7265625" customWidth="1"/>
    <col min="9" max="9" width="16.6328125" customWidth="1"/>
    <col min="10" max="10" width="19.90625" customWidth="1"/>
  </cols>
  <sheetData>
    <row r="2" spans="2:10" x14ac:dyDescent="0.35">
      <c r="B2" t="s">
        <v>30</v>
      </c>
      <c r="C2" t="s">
        <v>31</v>
      </c>
      <c r="D2" t="s">
        <v>22</v>
      </c>
      <c r="E2" t="s">
        <v>23</v>
      </c>
      <c r="F2" t="s">
        <v>24</v>
      </c>
      <c r="G2" t="s">
        <v>25</v>
      </c>
      <c r="H2" t="s">
        <v>27</v>
      </c>
      <c r="I2" t="s">
        <v>28</v>
      </c>
      <c r="J2" t="s">
        <v>29</v>
      </c>
    </row>
    <row r="3" spans="2:10" x14ac:dyDescent="0.35">
      <c r="B3">
        <v>2013</v>
      </c>
      <c r="C3">
        <v>13</v>
      </c>
      <c r="D3">
        <v>120.1</v>
      </c>
      <c r="E3">
        <v>57</v>
      </c>
      <c r="F3">
        <v>53.6</v>
      </c>
      <c r="G3">
        <v>63.9</v>
      </c>
      <c r="H3">
        <v>0.2</v>
      </c>
      <c r="I3">
        <v>17.600000000000001</v>
      </c>
      <c r="J3">
        <v>6.4</v>
      </c>
    </row>
    <row r="4" spans="2:10" x14ac:dyDescent="0.35">
      <c r="B4">
        <v>2014</v>
      </c>
      <c r="C4">
        <v>13</v>
      </c>
      <c r="D4">
        <v>106</v>
      </c>
      <c r="E4">
        <v>63.5</v>
      </c>
      <c r="F4">
        <v>47.5</v>
      </c>
      <c r="G4">
        <v>65.5</v>
      </c>
      <c r="H4">
        <v>3.2</v>
      </c>
      <c r="I4">
        <v>16</v>
      </c>
      <c r="J4">
        <v>7.5</v>
      </c>
    </row>
    <row r="5" spans="2:10" x14ac:dyDescent="0.35">
      <c r="B5">
        <v>2015</v>
      </c>
      <c r="C5">
        <v>11</v>
      </c>
      <c r="D5">
        <v>127.4</v>
      </c>
      <c r="E5">
        <v>53.7</v>
      </c>
      <c r="F5">
        <v>37.4</v>
      </c>
      <c r="G5">
        <v>61.8</v>
      </c>
      <c r="H5">
        <v>23.5</v>
      </c>
      <c r="I5">
        <v>18.3</v>
      </c>
      <c r="J5">
        <v>7.9</v>
      </c>
    </row>
    <row r="6" spans="2:10" x14ac:dyDescent="0.35">
      <c r="B6">
        <v>2016</v>
      </c>
      <c r="C6">
        <v>18</v>
      </c>
      <c r="D6">
        <v>126.9</v>
      </c>
      <c r="E6">
        <v>63</v>
      </c>
      <c r="F6">
        <v>45.4</v>
      </c>
      <c r="G6">
        <v>63.2</v>
      </c>
      <c r="H6">
        <v>1.8</v>
      </c>
      <c r="I6">
        <v>17.399999999999999</v>
      </c>
      <c r="J6">
        <v>8.3000000000000007</v>
      </c>
    </row>
    <row r="7" spans="2:10" x14ac:dyDescent="0.35">
      <c r="B7">
        <v>2017</v>
      </c>
      <c r="C7">
        <v>23</v>
      </c>
      <c r="D7">
        <v>119</v>
      </c>
      <c r="E7">
        <v>63.5</v>
      </c>
      <c r="F7">
        <v>43</v>
      </c>
      <c r="G7">
        <v>60.7</v>
      </c>
      <c r="H7">
        <v>2</v>
      </c>
      <c r="I7">
        <v>14</v>
      </c>
      <c r="J7">
        <v>7.3</v>
      </c>
    </row>
    <row r="8" spans="2:10" x14ac:dyDescent="0.35">
      <c r="B8">
        <v>2018</v>
      </c>
      <c r="C8">
        <v>10</v>
      </c>
      <c r="D8">
        <v>115.3</v>
      </c>
      <c r="E8">
        <v>55</v>
      </c>
      <c r="F8">
        <v>36.200000000000003</v>
      </c>
      <c r="G8">
        <v>50.9</v>
      </c>
      <c r="H8">
        <v>1.9</v>
      </c>
      <c r="I8">
        <v>17.3</v>
      </c>
      <c r="J8">
        <v>3.6</v>
      </c>
    </row>
    <row r="9" spans="2:10" x14ac:dyDescent="0.35">
      <c r="B9">
        <v>2019</v>
      </c>
      <c r="C9">
        <v>36</v>
      </c>
      <c r="D9">
        <v>118.4</v>
      </c>
      <c r="E9">
        <v>60.7</v>
      </c>
      <c r="F9">
        <v>40.4</v>
      </c>
      <c r="G9">
        <v>59.6</v>
      </c>
      <c r="H9">
        <v>4.5</v>
      </c>
      <c r="I9">
        <v>16.399999999999999</v>
      </c>
      <c r="J9">
        <v>8.6999999999999993</v>
      </c>
    </row>
    <row r="10" spans="2:10" x14ac:dyDescent="0.35">
      <c r="B10">
        <v>2020</v>
      </c>
      <c r="C10">
        <v>37</v>
      </c>
      <c r="D10">
        <v>118</v>
      </c>
      <c r="E10">
        <v>67.400000000000006</v>
      </c>
      <c r="F10">
        <v>51</v>
      </c>
      <c r="G10">
        <v>66.400000000000006</v>
      </c>
      <c r="H10">
        <v>0.1</v>
      </c>
      <c r="I10">
        <v>19.600000000000001</v>
      </c>
      <c r="J10">
        <v>9.4</v>
      </c>
    </row>
    <row r="11" spans="2:10" x14ac:dyDescent="0.35">
      <c r="B11">
        <v>2021</v>
      </c>
      <c r="C11">
        <v>119</v>
      </c>
      <c r="D11">
        <v>125.8</v>
      </c>
      <c r="E11">
        <v>68.2</v>
      </c>
      <c r="F11">
        <v>52.5</v>
      </c>
      <c r="G11">
        <v>63.9</v>
      </c>
      <c r="H11">
        <v>0.8</v>
      </c>
      <c r="I11">
        <v>16.899999999999999</v>
      </c>
      <c r="J11">
        <v>11.5</v>
      </c>
    </row>
    <row r="12" spans="2:10" x14ac:dyDescent="0.35">
      <c r="B12">
        <v>2022</v>
      </c>
      <c r="C12">
        <v>402</v>
      </c>
      <c r="D12">
        <v>122</v>
      </c>
      <c r="E12">
        <v>68.7</v>
      </c>
      <c r="F12">
        <v>51.5</v>
      </c>
      <c r="G12">
        <v>63.6</v>
      </c>
      <c r="H12">
        <v>1.3</v>
      </c>
      <c r="I12">
        <v>18.5</v>
      </c>
      <c r="J12">
        <v>11.7</v>
      </c>
    </row>
    <row r="13" spans="2:10" x14ac:dyDescent="0.35">
      <c r="B13">
        <v>2023</v>
      </c>
      <c r="C13">
        <v>175</v>
      </c>
      <c r="D13">
        <v>124.1</v>
      </c>
      <c r="E13">
        <v>70</v>
      </c>
      <c r="F13">
        <v>55.1</v>
      </c>
      <c r="G13">
        <v>68.2</v>
      </c>
      <c r="H13">
        <v>1.2</v>
      </c>
      <c r="I13">
        <v>19.7</v>
      </c>
      <c r="J13">
        <v>9.3000000000000007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56CFD-9BA9-4022-8106-4617D045A042}">
  <dimension ref="B2:E6"/>
  <sheetViews>
    <sheetView topLeftCell="E1" workbookViewId="0">
      <selection activeCell="N2" sqref="N2"/>
    </sheetView>
  </sheetViews>
  <sheetFormatPr defaultRowHeight="14.5" x14ac:dyDescent="0.35"/>
  <cols>
    <col min="2" max="2" width="38.08984375" bestFit="1" customWidth="1"/>
    <col min="4" max="4" width="10" bestFit="1" customWidth="1"/>
    <col min="5" max="5" width="14.453125" bestFit="1" customWidth="1"/>
  </cols>
  <sheetData>
    <row r="2" spans="2:5" x14ac:dyDescent="0.35">
      <c r="B2" t="s">
        <v>32</v>
      </c>
      <c r="D2" t="s">
        <v>35</v>
      </c>
      <c r="E2" t="s">
        <v>36</v>
      </c>
    </row>
    <row r="4" spans="2:5" x14ac:dyDescent="0.35">
      <c r="B4" t="s">
        <v>33</v>
      </c>
      <c r="D4">
        <v>80</v>
      </c>
      <c r="E4">
        <v>545189920</v>
      </c>
    </row>
    <row r="5" spans="2:5" x14ac:dyDescent="0.35">
      <c r="B5" t="s">
        <v>34</v>
      </c>
      <c r="D5">
        <v>562</v>
      </c>
      <c r="E5">
        <v>463139293</v>
      </c>
    </row>
    <row r="6" spans="2:5" x14ac:dyDescent="0.35">
      <c r="B6" t="s">
        <v>37</v>
      </c>
      <c r="D6">
        <v>195</v>
      </c>
      <c r="E6">
        <v>437889832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69E76AE69B2D4A816873129836C93B" ma:contentTypeVersion="4" ma:contentTypeDescription="Create a new document." ma:contentTypeScope="" ma:versionID="d3bc87a46f79cf9b73ced5f5a8b10f67">
  <xsd:schema xmlns:xsd="http://www.w3.org/2001/XMLSchema" xmlns:xs="http://www.w3.org/2001/XMLSchema" xmlns:p="http://schemas.microsoft.com/office/2006/metadata/properties" xmlns:ns3="7560ebff-3915-46e3-91bf-4497e09d7a19" targetNamespace="http://schemas.microsoft.com/office/2006/metadata/properties" ma:root="true" ma:fieldsID="ad6f452be3d787e04ed3f21261376e0b" ns3:_="">
    <xsd:import namespace="7560ebff-3915-46e3-91bf-4497e09d7a1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60ebff-3915-46e3-91bf-4497e09d7a1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88965E3-5042-464E-B5A0-FD89A4926A3A}">
  <ds:schemaRefs>
    <ds:schemaRef ds:uri="http://purl.org/dc/dcmitype/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560ebff-3915-46e3-91bf-4497e09d7a19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E955386-0F4F-4E55-BC3F-A7A928AC84C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BD62-47EC-41E4-B2D6-11DD9B14DB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60ebff-3915-46e3-91bf-4497e09d7a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Data_Dictionary</vt:lpstr>
      <vt:lpstr>Key_Mode</vt:lpstr>
      <vt:lpstr>BPM</vt:lpstr>
      <vt:lpstr>Averages</vt:lpstr>
      <vt:lpstr>Averages_By_Year</vt:lpstr>
      <vt:lpstr>Combination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ostrolle@student.ubc.ca</dc:creator>
  <cp:lastModifiedBy>ostrolle@student.ubc.ca</cp:lastModifiedBy>
  <dcterms:created xsi:type="dcterms:W3CDTF">2026-04-04T22:46:37Z</dcterms:created>
  <dcterms:modified xsi:type="dcterms:W3CDTF">2026-04-06T05:29:07Z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0x0101009F69E76AE69B2D4A816873129836C93B</vt:lpwstr>
  </property>
</Properties>
</file>